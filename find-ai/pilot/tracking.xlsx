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ilot Tracking" sheetId="1" state="visible" r:id="rId3"/>
    <sheet name="Summary" sheetId="2" state="visible" r:id="rId4"/>
    <sheet name="READM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<sst xmlns="http://schemas.openxmlformats.org/spreadsheetml/2006/main" count="126" uniqueCount="99">
  <si>
    <t xml:space="preserve">ID</t>
  </si>
  <si>
    <t xml:space="preserve">Name</t>
  </si>
  <si>
    <t xml:space="preserve">Role</t>
  </si>
  <si>
    <t xml:space="preserve">State</t>
  </si>
  <si>
    <t xml:space="preserve">Lang</t>
  </si>
  <si>
    <t xml:space="preserve">Channel</t>
  </si>
  <si>
    <t xml:space="preserve">Phone or Email</t>
  </si>
  <si>
    <t xml:space="preserve">Reached out</t>
  </si>
  <si>
    <t xml:space="preserve">Reply received</t>
  </si>
  <si>
    <t xml:space="preserve">Confirmed</t>
  </si>
  <si>
    <t xml:space="preserve">Onboarding sent</t>
  </si>
  <si>
    <t xml:space="preserve">Demo done</t>
  </si>
  <si>
    <t xml:space="preserve">Demo channel</t>
  </si>
  <si>
    <t xml:space="preserve">Feedback received</t>
  </si>
  <si>
    <t xml:space="preserve">NPS (0-10)</t>
  </si>
  <si>
    <t xml:space="preserve">Use intent</t>
  </si>
  <si>
    <t xml:space="preserve">Price tolerance</t>
  </si>
  <si>
    <t xml:space="preserve">Top liked</t>
  </si>
  <si>
    <t xml:space="preserve">Top friction</t>
  </si>
  <si>
    <t xml:space="preserve">Notes link</t>
  </si>
  <si>
    <t xml:space="preserve">Status</t>
  </si>
  <si>
    <t xml:space="preserve">Ahmad bin Salleh</t>
  </si>
  <si>
    <t xml:space="preserve">Landlord (1 unit)</t>
  </si>
  <si>
    <t xml:space="preserve">KL</t>
  </si>
  <si>
    <t xml:space="preserve">EN</t>
  </si>
  <si>
    <t xml:space="preserve">Warm</t>
  </si>
  <si>
    <t xml:space="preserve">+60123456789</t>
  </si>
  <si>
    <t xml:space="preserve">2026-04-26</t>
  </si>
  <si>
    <t xml:space="preserve">Yes</t>
  </si>
  <si>
    <t xml:space="preserve">Self-serve</t>
  </si>
  <si>
    <t xml:space="preserve">RM 30-50</t>
  </si>
  <si>
    <t xml:space="preserve">Trust Card looks like real ID</t>
  </si>
  <si>
    <t xml:space="preserve">LHDN concept took a moment to grasp</t>
  </si>
  <si>
    <t xml:space="preserve">notes/01-ahmad.md</t>
  </si>
  <si>
    <t xml:space="preserve">Done</t>
  </si>
  <si>
    <t xml:space="preserve">Tan Mei Ling</t>
  </si>
  <si>
    <t xml:space="preserve">Landlord (3 units)</t>
  </si>
  <si>
    <t xml:space="preserve">Selangor</t>
  </si>
  <si>
    <t xml:space="preserve">ZH</t>
  </si>
  <si>
    <t xml:space="preserve">tan.meiling@gmail.com</t>
  </si>
  <si>
    <t xml:space="preserve">2026-04-27</t>
  </si>
  <si>
    <t xml:space="preserve">Guided call</t>
  </si>
  <si>
    <t xml:space="preserve">Probably yes</t>
  </si>
  <si>
    <t xml:space="preserve">RM 10-30</t>
  </si>
  <si>
    <t xml:space="preserve">Liked the timing-tier breakdown</t>
  </si>
  <si>
    <t xml:space="preserve">Wanted CSV export for property mgmt system</t>
  </si>
  <si>
    <t xml:space="preserve">notes/02-mei-ling.md</t>
  </si>
  <si>
    <t xml:space="preserve">Rajan Subramaniam</t>
  </si>
  <si>
    <t xml:space="preserve">Landlord (2 units)</t>
  </si>
  <si>
    <t xml:space="preserve">FB</t>
  </si>
  <si>
    <t xml:space="preserve">+60198765432</t>
  </si>
  <si>
    <t xml:space="preserve">Reached</t>
  </si>
  <si>
    <t xml:space="preserve">Faridah binti Ismail</t>
  </si>
  <si>
    <t xml:space="preserve">Landlord (5 units)</t>
  </si>
  <si>
    <t xml:space="preserve">BM</t>
  </si>
  <si>
    <t xml:space="preserve">Telegram</t>
  </si>
  <si>
    <t xml:space="preserve">+60187654321</t>
  </si>
  <si>
    <t xml:space="preserve">2026-04-28</t>
  </si>
  <si>
    <t xml:space="preserve">2026-04-29</t>
  </si>
  <si>
    <t xml:space="preserve">Wong Kar Wai</t>
  </si>
  <si>
    <t xml:space="preserve">Agent (independent)</t>
  </si>
  <si>
    <t xml:space="preserve">Penang</t>
  </si>
  <si>
    <t xml:space="preserve">MIEA</t>
  </si>
  <si>
    <t xml:space="preserve">wong@property.my</t>
  </si>
  <si>
    <t xml:space="preserve">Pilot Status Summary</t>
  </si>
  <si>
    <t xml:space="preserve">Count</t>
  </si>
  <si>
    <t xml:space="preserve">Pending</t>
  </si>
  <si>
    <t xml:space="preserve">Demo</t>
  </si>
  <si>
    <t xml:space="preserve">Dropped</t>
  </si>
  <si>
    <t xml:space="preserve">Total in pipeline</t>
  </si>
  <si>
    <t xml:space="preserve">NPS Calculation</t>
  </si>
  <si>
    <t xml:space="preserve">Promoters (9-10)</t>
  </si>
  <si>
    <t xml:space="preserve">Passives (7-8)</t>
  </si>
  <si>
    <t xml:space="preserve">Detractors (0-6)</t>
  </si>
  <si>
    <t xml:space="preserve">Total responses</t>
  </si>
  <si>
    <t xml:space="preserve">NPS score (P% - D%)</t>
  </si>
  <si>
    <t xml:space="preserve">GO criteria (per PILOT_RECRUITMENT_PLAN.md)</t>
  </si>
  <si>
    <t xml:space="preserve">Use intent YES + PROBABLY (target ≥70%)</t>
  </si>
  <si>
    <t xml:space="preserve">NPS (target ≥30)</t>
  </si>
  <si>
    <t xml:space="preserve">Demos completed</t>
  </si>
  <si>
    <t xml:space="preserve">Find.ai Pilot Tracking</t>
  </si>
  <si>
    <t xml:space="preserve">How to use this spreadsheet:</t>
  </si>
  <si>
    <t xml:space="preserve">1. Add a row per pilot in the 'Pilot Tracking' sheet (use the dropdowns where they exist).</t>
  </si>
  <si>
    <t xml:space="preserve">2. As you reach out, get replies, schedule demos, and collect feedback — update each row.</t>
  </si>
  <si>
    <t xml:space="preserve">3. The 'Summary' sheet auto-aggregates: status counts, NPS, GO/NO-GO criteria.</t>
  </si>
  <si>
    <t xml:space="preserve">4. Per-pilot notes go in the 'Notes link' column — point to a markdown file in pilot/notes/</t>
  </si>
  <si>
    <t xml:space="preserve">5. Google Forms feedback CSVs go into pilot/responses/ — Zeus can join them with this sheet.</t>
  </si>
  <si>
    <t xml:space="preserve">Status meanings:</t>
  </si>
  <si>
    <t xml:space="preserve">Pending — on your contact list, not yet reached out</t>
  </si>
  <si>
    <t xml:space="preserve">Reached — outreach sent, awaiting reply</t>
  </si>
  <si>
    <t xml:space="preserve">Confirmed — replied positively, demo scheduled or self-serve link sent</t>
  </si>
  <si>
    <t xml:space="preserve">Demo — currently walking through the v0 mock</t>
  </si>
  <si>
    <t xml:space="preserve">Done — feedback form submitted, can be analyzed</t>
  </si>
  <si>
    <t xml:space="preserve">Dropped — no reply / declined / opted out</t>
  </si>
  <si>
    <t xml:space="preserve">GO/NO-GO decision (after 7+ feedbacks):</t>
  </si>
  <si>
    <t xml:space="preserve">GREEN: Use intent ≥70% AND NPS ≥30 AND price tolerance ≥50% → invest in real OCR + LHDN backend</t>
  </si>
  <si>
    <t xml:space="preserve">AMBER: Mixed signal → ship Sprint 2 polish first, re-test, then decide</t>
  </si>
  <si>
    <t xml:space="preserve">RED: &lt;40% interested OR NPS &lt;0 → pivot the concept or persona</t>
  </si>
  <si>
    <t xml:space="preserve">Generated: 2026-04-25 (v3.4.6) — see PILOT_RECRUITMENT_PLAN.md for full strategy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</si>
</sst>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4"/>
      <color rgb="FF0F172A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color rgb="FF0F172A"/>
      <name val="Arial"/>
      <family val="0"/>
      <charset val="1"/>
    </font>
    <font>
      <b val="true"/>
      <sz val="11"/>
      <color rgb="FF065F46"/>
      <name val="Arial"/>
      <family val="0"/>
      <charset val="1"/>
    </font>
    <font>
      <b val="true"/>
      <sz val="12"/>
      <color rgb="FF0F172A"/>
      <name val="Arial"/>
      <family val="0"/>
      <charset val="1"/>
    </font>
    <font>
      <b val="true"/>
      <sz val="16"/>
      <color rgb="FF0F172A"/>
      <name val="Arial"/>
      <family val="0"/>
      <charset val="1"/>
    </font>
    <font>
      <i val="true"/>
      <sz val="10"/>
      <color rgb="FF94A3B8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  <fill>
      <patternFill patternType="solid">
        <fgColor rgb="FFD1FAE5"/>
        <bgColor rgb="FFDBEAFE"/>
      </patternFill>
    </fill>
    <fill>
      <patternFill patternType="solid">
        <fgColor rgb="FFDBEAFE"/>
        <bgColor rgb="FFE2E8F0"/>
      </patternFill>
    </fill>
    <fill>
      <patternFill patternType="solid">
        <fgColor rgb="FFFEF3C7"/>
        <bgColor rgb="FFFEE2E2"/>
      </patternFill>
    </fill>
    <fill>
      <patternFill patternType="solid">
        <fgColor rgb="FFF1F5F9"/>
        <bgColor rgb="FFEDE9FE"/>
      </patternFill>
    </fill>
    <fill>
      <patternFill patternType="solid">
        <fgColor rgb="FFEDE9FE"/>
        <bgColor rgb="FFE2E8F0"/>
      </patternFill>
    </fill>
    <fill>
      <patternFill patternType="solid">
        <fgColor rgb="FFFEE2E2"/>
        <bgColor rgb="FFEDE9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65F46"/>
      <rgbColor rgb="FFC0C0C0"/>
      <rgbColor rgb="FF808080"/>
      <rgbColor rgb="FF9999FF"/>
      <rgbColor rgb="FF993366"/>
      <rgbColor rgb="FFFEF3C7"/>
      <rgbColor rgb="FFDBEAFE"/>
      <rgbColor rgb="FF660066"/>
      <rgbColor rgb="FFFF8080"/>
      <rgbColor rgb="FF0066CC"/>
      <rgbColor rgb="FFE2E8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D1FAE5"/>
      <rgbColor rgb="FFEDE9FE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66699"/>
      <rgbColor rgb="FF94A3B8"/>
      <rgbColor rgb="FF003366"/>
      <rgbColor rgb="FF339966"/>
      <rgbColor rgb="FF0F172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26"/>
    <col collapsed="false" customWidth="true" hidden="false" outlineLevel="0" max="9" min="8" style="0" width="13"/>
    <col collapsed="false" customWidth="true" hidden="false" outlineLevel="0" max="10" min="10" style="0" width="11"/>
    <col collapsed="false" customWidth="true" hidden="false" outlineLevel="0" max="11" min="11" style="0" width="14"/>
    <col collapsed="false" customWidth="true" hidden="false" outlineLevel="0" max="12" min="12" style="0" width="11"/>
    <col collapsed="false" customWidth="true" hidden="false" outlineLevel="0" max="14" min="13" style="0" width="16"/>
    <col collapsed="false" customWidth="true" hidden="false" outlineLevel="0" max="15" min="15" style="0" width="11"/>
    <col collapsed="false" customWidth="true" hidden="false" outlineLevel="0" max="16" min="16" style="0" width="14"/>
    <col collapsed="false" customWidth="true" hidden="false" outlineLevel="0" max="17" min="17" style="0" width="16"/>
    <col collapsed="false" customWidth="true" hidden="false" outlineLevel="0" max="19" min="18" style="0" width="32"/>
    <col collapsed="false" customWidth="true" hidden="false" outlineLevel="0" max="20" min="20" style="0" width="22"/>
    <col collapsed="false" customWidth="true" hidden="false" outlineLevel="0" max="21" min="21" style="0" width="14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26.85" hidden="false" customHeight="false" outlineLevel="0" collapsed="false">
      <c r="A2" s="2" t="n">
        <v>1</v>
      </c>
      <c r="B2" s="3" t="s">
        <v>21</v>
      </c>
      <c r="C2" s="3" t="s">
        <v>22</v>
      </c>
      <c r="D2" s="2" t="s">
        <v>23</v>
      </c>
      <c r="E2" s="2" t="s">
        <v>24</v>
      </c>
      <c r="F2" s="3" t="s">
        <v>25</v>
      </c>
      <c r="G2" s="3" t="s">
        <v>26</v>
      </c>
      <c r="H2" s="2" t="s">
        <v>27</v>
      </c>
      <c r="I2" s="2" t="s">
        <v>27</v>
      </c>
      <c r="J2" s="2" t="s">
        <v>28</v>
      </c>
      <c r="K2" s="2" t="s">
        <v>27</v>
      </c>
      <c r="L2" s="2" t="s">
        <v>28</v>
      </c>
      <c r="M2" s="3" t="s">
        <v>29</v>
      </c>
      <c r="N2" s="2" t="s">
        <v>28</v>
      </c>
      <c r="O2" s="2" t="n">
        <v>9</v>
      </c>
      <c r="P2" s="3" t="s">
        <v>28</v>
      </c>
      <c r="Q2" s="3" t="s">
        <v>30</v>
      </c>
      <c r="R2" s="3" t="s">
        <v>31</v>
      </c>
      <c r="S2" s="3" t="s">
        <v>32</v>
      </c>
      <c r="T2" s="3" t="s">
        <v>33</v>
      </c>
      <c r="U2" s="4" t="s">
        <v>34</v>
      </c>
    </row>
    <row r="3" customFormat="false" ht="26.85" hidden="false" customHeight="false" outlineLevel="0" collapsed="false">
      <c r="A3" s="2" t="n">
        <v>2</v>
      </c>
      <c r="B3" s="3" t="s">
        <v>35</v>
      </c>
      <c r="C3" s="3" t="s">
        <v>36</v>
      </c>
      <c r="D3" s="2" t="s">
        <v>37</v>
      </c>
      <c r="E3" s="2" t="s">
        <v>38</v>
      </c>
      <c r="F3" s="3" t="s">
        <v>25</v>
      </c>
      <c r="G3" s="3" t="s">
        <v>39</v>
      </c>
      <c r="H3" s="2" t="s">
        <v>27</v>
      </c>
      <c r="I3" s="2" t="s">
        <v>40</v>
      </c>
      <c r="J3" s="2" t="s">
        <v>28</v>
      </c>
      <c r="K3" s="2" t="s">
        <v>40</v>
      </c>
      <c r="L3" s="2" t="s">
        <v>28</v>
      </c>
      <c r="M3" s="3" t="s">
        <v>41</v>
      </c>
      <c r="N3" s="2" t="s">
        <v>28</v>
      </c>
      <c r="O3" s="2" t="n">
        <v>8</v>
      </c>
      <c r="P3" s="3" t="s">
        <v>42</v>
      </c>
      <c r="Q3" s="3" t="s">
        <v>43</v>
      </c>
      <c r="R3" s="3" t="s">
        <v>44</v>
      </c>
      <c r="S3" s="3" t="s">
        <v>45</v>
      </c>
      <c r="T3" s="3" t="s">
        <v>46</v>
      </c>
      <c r="U3" s="4" t="s">
        <v>34</v>
      </c>
    </row>
    <row r="4" customFormat="false" ht="15" hidden="false" customHeight="false" outlineLevel="0" collapsed="false">
      <c r="A4" s="2" t="n">
        <v>3</v>
      </c>
      <c r="B4" s="3" t="s">
        <v>47</v>
      </c>
      <c r="C4" s="3" t="s">
        <v>48</v>
      </c>
      <c r="D4" s="2" t="s">
        <v>23</v>
      </c>
      <c r="E4" s="2" t="s">
        <v>24</v>
      </c>
      <c r="F4" s="3" t="s">
        <v>49</v>
      </c>
      <c r="G4" s="3" t="s">
        <v>50</v>
      </c>
      <c r="H4" s="2" t="s">
        <v>40</v>
      </c>
      <c r="I4" s="2"/>
      <c r="J4" s="2"/>
      <c r="K4" s="2"/>
      <c r="L4" s="2"/>
      <c r="M4" s="3"/>
      <c r="N4" s="2"/>
      <c r="O4" s="2"/>
      <c r="P4" s="3"/>
      <c r="Q4" s="3"/>
      <c r="R4" s="3"/>
      <c r="S4" s="3"/>
      <c r="T4" s="3"/>
      <c r="U4" s="5" t="s">
        <v>51</v>
      </c>
    </row>
    <row r="5" customFormat="false" ht="15" hidden="false" customHeight="false" outlineLevel="0" collapsed="false">
      <c r="A5" s="2" t="n">
        <v>4</v>
      </c>
      <c r="B5" s="3" t="s">
        <v>52</v>
      </c>
      <c r="C5" s="3" t="s">
        <v>53</v>
      </c>
      <c r="D5" s="2" t="s">
        <v>37</v>
      </c>
      <c r="E5" s="2" t="s">
        <v>54</v>
      </c>
      <c r="F5" s="3" t="s">
        <v>55</v>
      </c>
      <c r="G5" s="3" t="s">
        <v>56</v>
      </c>
      <c r="H5" s="2" t="s">
        <v>57</v>
      </c>
      <c r="I5" s="2" t="s">
        <v>58</v>
      </c>
      <c r="J5" s="2" t="s">
        <v>28</v>
      </c>
      <c r="K5" s="2" t="s">
        <v>58</v>
      </c>
      <c r="L5" s="2"/>
      <c r="M5" s="3"/>
      <c r="N5" s="2"/>
      <c r="O5" s="2"/>
      <c r="P5" s="3"/>
      <c r="Q5" s="3"/>
      <c r="R5" s="3"/>
      <c r="S5" s="3"/>
      <c r="T5" s="3"/>
      <c r="U5" s="6" t="s">
        <v>9</v>
      </c>
    </row>
    <row r="6" customFormat="false" ht="15" hidden="false" customHeight="false" outlineLevel="0" collapsed="false">
      <c r="A6" s="2" t="n">
        <v>5</v>
      </c>
      <c r="B6" s="3" t="s">
        <v>59</v>
      </c>
      <c r="C6" s="3" t="s">
        <v>60</v>
      </c>
      <c r="D6" s="2" t="s">
        <v>61</v>
      </c>
      <c r="E6" s="2" t="s">
        <v>38</v>
      </c>
      <c r="F6" s="3" t="s">
        <v>62</v>
      </c>
      <c r="G6" s="3" t="s">
        <v>63</v>
      </c>
      <c r="H6" s="2" t="s">
        <v>57</v>
      </c>
      <c r="I6" s="2"/>
      <c r="J6" s="2"/>
      <c r="K6" s="2"/>
      <c r="L6" s="2"/>
      <c r="M6" s="3"/>
      <c r="N6" s="2"/>
      <c r="O6" s="2"/>
      <c r="P6" s="3"/>
      <c r="Q6" s="3"/>
      <c r="R6" s="3"/>
      <c r="S6" s="3"/>
      <c r="T6" s="3"/>
      <c r="U6" s="5" t="s">
        <v>51</v>
      </c>
    </row>
    <row r="7" customFormat="false" ht="15" hidden="false" customHeight="false" outlineLevel="0" collapsed="false">
      <c r="A7" s="2"/>
      <c r="B7" s="3"/>
      <c r="C7" s="3"/>
      <c r="D7" s="2"/>
      <c r="E7" s="2"/>
      <c r="F7" s="3"/>
      <c r="G7" s="3"/>
      <c r="H7" s="2"/>
      <c r="I7" s="2"/>
      <c r="J7" s="2"/>
      <c r="K7" s="2"/>
      <c r="L7" s="2"/>
      <c r="M7" s="3"/>
      <c r="N7" s="2"/>
      <c r="O7" s="2"/>
      <c r="P7" s="3"/>
      <c r="Q7" s="3"/>
      <c r="R7" s="3"/>
      <c r="S7" s="3"/>
      <c r="T7" s="3"/>
      <c r="U7" s="2"/>
    </row>
    <row r="8" customFormat="false" ht="15" hidden="false" customHeight="false" outlineLevel="0" collapsed="false">
      <c r="A8" s="2"/>
      <c r="B8" s="3"/>
      <c r="C8" s="3"/>
      <c r="D8" s="2"/>
      <c r="E8" s="2"/>
      <c r="F8" s="3"/>
      <c r="G8" s="3"/>
      <c r="H8" s="2"/>
      <c r="I8" s="2"/>
      <c r="J8" s="2"/>
      <c r="K8" s="2"/>
      <c r="L8" s="2"/>
      <c r="M8" s="3"/>
      <c r="N8" s="2"/>
      <c r="O8" s="2"/>
      <c r="P8" s="3"/>
      <c r="Q8" s="3"/>
      <c r="R8" s="3"/>
      <c r="S8" s="3"/>
      <c r="T8" s="3"/>
      <c r="U8" s="2"/>
    </row>
    <row r="9" customFormat="false" ht="15" hidden="false" customHeight="false" outlineLevel="0" collapsed="false">
      <c r="A9" s="2"/>
      <c r="B9" s="3"/>
      <c r="C9" s="3"/>
      <c r="D9" s="2"/>
      <c r="E9" s="2"/>
      <c r="F9" s="3"/>
      <c r="G9" s="3"/>
      <c r="H9" s="2"/>
      <c r="I9" s="2"/>
      <c r="J9" s="2"/>
      <c r="K9" s="2"/>
      <c r="L9" s="2"/>
      <c r="M9" s="3"/>
      <c r="N9" s="2"/>
      <c r="O9" s="2"/>
      <c r="P9" s="3"/>
      <c r="Q9" s="3"/>
      <c r="R9" s="3"/>
      <c r="S9" s="3"/>
      <c r="T9" s="3"/>
      <c r="U9" s="2"/>
    </row>
    <row r="10" customFormat="false" ht="15" hidden="false" customHeight="false" outlineLevel="0" collapsed="false">
      <c r="A10" s="2"/>
      <c r="B10" s="3"/>
      <c r="C10" s="3"/>
      <c r="D10" s="2"/>
      <c r="E10" s="2"/>
      <c r="F10" s="3"/>
      <c r="G10" s="3"/>
      <c r="H10" s="2"/>
      <c r="I10" s="2"/>
      <c r="J10" s="2"/>
      <c r="K10" s="2"/>
      <c r="L10" s="2"/>
      <c r="M10" s="3"/>
      <c r="N10" s="2"/>
      <c r="O10" s="2"/>
      <c r="P10" s="3"/>
      <c r="Q10" s="3"/>
      <c r="R10" s="3"/>
      <c r="S10" s="3"/>
      <c r="T10" s="3"/>
      <c r="U10" s="2"/>
    </row>
    <row r="11" customFormat="false" ht="15" hidden="false" customHeight="false" outlineLevel="0" collapsed="false">
      <c r="A11" s="2"/>
      <c r="B11" s="3"/>
      <c r="C11" s="3"/>
      <c r="D11" s="2"/>
      <c r="E11" s="2"/>
      <c r="F11" s="3"/>
      <c r="G11" s="3"/>
      <c r="H11" s="2"/>
      <c r="I11" s="2"/>
      <c r="J11" s="2"/>
      <c r="K11" s="2"/>
      <c r="L11" s="2"/>
      <c r="M11" s="3"/>
      <c r="N11" s="2"/>
      <c r="O11" s="2"/>
      <c r="P11" s="3"/>
      <c r="Q11" s="3"/>
      <c r="R11" s="3"/>
      <c r="S11" s="3"/>
      <c r="T11" s="3"/>
      <c r="U11" s="2"/>
    </row>
    <row r="12" customFormat="false" ht="15" hidden="false" customHeight="false" outlineLevel="0" collapsed="false">
      <c r="A12" s="2"/>
      <c r="B12" s="3"/>
      <c r="C12" s="3"/>
      <c r="D12" s="2"/>
      <c r="E12" s="2"/>
      <c r="F12" s="3"/>
      <c r="G12" s="3"/>
      <c r="H12" s="2"/>
      <c r="I12" s="2"/>
      <c r="J12" s="2"/>
      <c r="K12" s="2"/>
      <c r="L12" s="2"/>
      <c r="M12" s="3"/>
      <c r="N12" s="2"/>
      <c r="O12" s="2"/>
      <c r="P12" s="3"/>
      <c r="Q12" s="3"/>
      <c r="R12" s="3"/>
      <c r="S12" s="3"/>
      <c r="T12" s="3"/>
      <c r="U12" s="2"/>
    </row>
    <row r="13" customFormat="false" ht="15" hidden="false" customHeight="false" outlineLevel="0" collapsed="false">
      <c r="A13" s="2"/>
      <c r="B13" s="3"/>
      <c r="C13" s="3"/>
      <c r="D13" s="2"/>
      <c r="E13" s="2"/>
      <c r="F13" s="3"/>
      <c r="G13" s="3"/>
      <c r="H13" s="2"/>
      <c r="I13" s="2"/>
      <c r="J13" s="2"/>
      <c r="K13" s="2"/>
      <c r="L13" s="2"/>
      <c r="M13" s="3"/>
      <c r="N13" s="2"/>
      <c r="O13" s="2"/>
      <c r="P13" s="3"/>
      <c r="Q13" s="3"/>
      <c r="R13" s="3"/>
      <c r="S13" s="3"/>
      <c r="T13" s="3"/>
      <c r="U13" s="2"/>
    </row>
    <row r="14" customFormat="false" ht="15" hidden="false" customHeight="false" outlineLevel="0" collapsed="false">
      <c r="A14" s="2"/>
      <c r="B14" s="3"/>
      <c r="C14" s="3"/>
      <c r="D14" s="2"/>
      <c r="E14" s="2"/>
      <c r="F14" s="3"/>
      <c r="G14" s="3"/>
      <c r="H14" s="2"/>
      <c r="I14" s="2"/>
      <c r="J14" s="2"/>
      <c r="K14" s="2"/>
      <c r="L14" s="2"/>
      <c r="M14" s="3"/>
      <c r="N14" s="2"/>
      <c r="O14" s="2"/>
      <c r="P14" s="3"/>
      <c r="Q14" s="3"/>
      <c r="R14" s="3"/>
      <c r="S14" s="3"/>
      <c r="T14" s="3"/>
      <c r="U14" s="2"/>
    </row>
    <row r="15" customFormat="false" ht="15" hidden="false" customHeight="false" outlineLevel="0" collapsed="false">
      <c r="A15" s="2"/>
      <c r="B15" s="3"/>
      <c r="C15" s="3"/>
      <c r="D15" s="2"/>
      <c r="E15" s="2"/>
      <c r="F15" s="3"/>
      <c r="G15" s="3"/>
      <c r="H15" s="2"/>
      <c r="I15" s="2"/>
      <c r="J15" s="2"/>
      <c r="K15" s="2"/>
      <c r="L15" s="2"/>
      <c r="M15" s="3"/>
      <c r="N15" s="2"/>
      <c r="O15" s="2"/>
      <c r="P15" s="3"/>
      <c r="Q15" s="3"/>
      <c r="R15" s="3"/>
      <c r="S15" s="3"/>
      <c r="T15" s="3"/>
      <c r="U15" s="2"/>
    </row>
    <row r="16" customFormat="false" ht="15" hidden="false" customHeight="false" outlineLevel="0" collapsed="false">
      <c r="A16" s="2"/>
      <c r="B16" s="3"/>
      <c r="C16" s="3"/>
      <c r="D16" s="2"/>
      <c r="E16" s="2"/>
      <c r="F16" s="3"/>
      <c r="G16" s="3"/>
      <c r="H16" s="2"/>
      <c r="I16" s="2"/>
      <c r="J16" s="2"/>
      <c r="K16" s="2"/>
      <c r="L16" s="2"/>
      <c r="M16" s="3"/>
      <c r="N16" s="2"/>
      <c r="O16" s="2"/>
      <c r="P16" s="3"/>
      <c r="Q16" s="3"/>
      <c r="R16" s="3"/>
      <c r="S16" s="3"/>
      <c r="T16" s="3"/>
      <c r="U16" s="2"/>
    </row>
    <row r="17" customFormat="false" ht="15" hidden="false" customHeight="false" outlineLevel="0" collapsed="false">
      <c r="A17" s="2"/>
      <c r="B17" s="3"/>
      <c r="C17" s="3"/>
      <c r="D17" s="2"/>
      <c r="E17" s="2"/>
      <c r="F17" s="3"/>
      <c r="G17" s="3"/>
      <c r="H17" s="2"/>
      <c r="I17" s="2"/>
      <c r="J17" s="2"/>
      <c r="K17" s="2"/>
      <c r="L17" s="2"/>
      <c r="M17" s="3"/>
      <c r="N17" s="2"/>
      <c r="O17" s="2"/>
      <c r="P17" s="3"/>
      <c r="Q17" s="3"/>
      <c r="R17" s="3"/>
      <c r="S17" s="3"/>
      <c r="T17" s="3"/>
      <c r="U17" s="2"/>
    </row>
    <row r="18" customFormat="false" ht="15" hidden="false" customHeight="false" outlineLevel="0" collapsed="false">
      <c r="A18" s="2"/>
      <c r="B18" s="3"/>
      <c r="C18" s="3"/>
      <c r="D18" s="2"/>
      <c r="E18" s="2"/>
      <c r="F18" s="3"/>
      <c r="G18" s="3"/>
      <c r="H18" s="2"/>
      <c r="I18" s="2"/>
      <c r="J18" s="2"/>
      <c r="K18" s="2"/>
      <c r="L18" s="2"/>
      <c r="M18" s="3"/>
      <c r="N18" s="2"/>
      <c r="O18" s="2"/>
      <c r="P18" s="3"/>
      <c r="Q18" s="3"/>
      <c r="R18" s="3"/>
      <c r="S18" s="3"/>
      <c r="T18" s="3"/>
      <c r="U18" s="2"/>
    </row>
    <row r="19" customFormat="false" ht="15" hidden="false" customHeight="false" outlineLevel="0" collapsed="false">
      <c r="A19" s="2"/>
      <c r="B19" s="3"/>
      <c r="C19" s="3"/>
      <c r="D19" s="2"/>
      <c r="E19" s="2"/>
      <c r="F19" s="3"/>
      <c r="G19" s="3"/>
      <c r="H19" s="2"/>
      <c r="I19" s="2"/>
      <c r="J19" s="2"/>
      <c r="K19" s="2"/>
      <c r="L19" s="2"/>
      <c r="M19" s="3"/>
      <c r="N19" s="2"/>
      <c r="O19" s="2"/>
      <c r="P19" s="3"/>
      <c r="Q19" s="3"/>
      <c r="R19" s="3"/>
      <c r="S19" s="3"/>
      <c r="T19" s="3"/>
      <c r="U19" s="2"/>
    </row>
    <row r="20" customFormat="false" ht="15" hidden="false" customHeight="false" outlineLevel="0" collapsed="false">
      <c r="A20" s="2"/>
      <c r="B20" s="3"/>
      <c r="C20" s="3"/>
      <c r="D20" s="2"/>
      <c r="E20" s="2"/>
      <c r="F20" s="3"/>
      <c r="G20" s="3"/>
      <c r="H20" s="2"/>
      <c r="I20" s="2"/>
      <c r="J20" s="2"/>
      <c r="K20" s="2"/>
      <c r="L20" s="2"/>
      <c r="M20" s="3"/>
      <c r="N20" s="2"/>
      <c r="O20" s="2"/>
      <c r="P20" s="3"/>
      <c r="Q20" s="3"/>
      <c r="R20" s="3"/>
      <c r="S20" s="3"/>
      <c r="T20" s="3"/>
      <c r="U20" s="2"/>
    </row>
    <row r="21" customFormat="false" ht="15" hidden="false" customHeight="false" outlineLevel="0" collapsed="false">
      <c r="A21" s="2"/>
      <c r="B21" s="3"/>
      <c r="C21" s="3"/>
      <c r="D21" s="2"/>
      <c r="E21" s="2"/>
      <c r="F21" s="3"/>
      <c r="G21" s="3"/>
      <c r="H21" s="2"/>
      <c r="I21" s="2"/>
      <c r="J21" s="2"/>
      <c r="K21" s="2"/>
      <c r="L21" s="2"/>
      <c r="M21" s="3"/>
      <c r="N21" s="2"/>
      <c r="O21" s="2"/>
      <c r="P21" s="3"/>
      <c r="Q21" s="3"/>
      <c r="R21" s="3"/>
      <c r="S21" s="3"/>
      <c r="T21" s="3"/>
      <c r="U21" s="2"/>
    </row>
    <row r="22" customFormat="false" ht="15" hidden="false" customHeight="false" outlineLevel="0" collapsed="false">
      <c r="A22" s="2"/>
      <c r="B22" s="3"/>
      <c r="C22" s="3"/>
      <c r="D22" s="2"/>
      <c r="E22" s="2"/>
      <c r="F22" s="3"/>
      <c r="G22" s="3"/>
      <c r="H22" s="2"/>
      <c r="I22" s="2"/>
      <c r="J22" s="2"/>
      <c r="K22" s="2"/>
      <c r="L22" s="2"/>
      <c r="M22" s="3"/>
      <c r="N22" s="2"/>
      <c r="O22" s="2"/>
      <c r="P22" s="3"/>
      <c r="Q22" s="3"/>
      <c r="R22" s="3"/>
      <c r="S22" s="3"/>
      <c r="T22" s="3"/>
      <c r="U22" s="2"/>
    </row>
    <row r="23" customFormat="false" ht="15" hidden="false" customHeight="false" outlineLevel="0" collapsed="false">
      <c r="A23" s="2"/>
      <c r="B23" s="3"/>
      <c r="C23" s="3"/>
      <c r="D23" s="2"/>
      <c r="E23" s="2"/>
      <c r="F23" s="3"/>
      <c r="G23" s="3"/>
      <c r="H23" s="2"/>
      <c r="I23" s="2"/>
      <c r="J23" s="2"/>
      <c r="K23" s="2"/>
      <c r="L23" s="2"/>
      <c r="M23" s="3"/>
      <c r="N23" s="2"/>
      <c r="O23" s="2"/>
      <c r="P23" s="3"/>
      <c r="Q23" s="3"/>
      <c r="R23" s="3"/>
      <c r="S23" s="3"/>
      <c r="T23" s="3"/>
      <c r="U23" s="2"/>
    </row>
    <row r="24" customFormat="false" ht="15" hidden="false" customHeight="false" outlineLevel="0" collapsed="false">
      <c r="A24" s="2"/>
      <c r="B24" s="3"/>
      <c r="C24" s="3"/>
      <c r="D24" s="2"/>
      <c r="E24" s="2"/>
      <c r="F24" s="3"/>
      <c r="G24" s="3"/>
      <c r="H24" s="2"/>
      <c r="I24" s="2"/>
      <c r="J24" s="2"/>
      <c r="K24" s="2"/>
      <c r="L24" s="2"/>
      <c r="M24" s="3"/>
      <c r="N24" s="2"/>
      <c r="O24" s="2"/>
      <c r="P24" s="3"/>
      <c r="Q24" s="3"/>
      <c r="R24" s="3"/>
      <c r="S24" s="3"/>
      <c r="T24" s="3"/>
      <c r="U24" s="2"/>
    </row>
    <row r="25" customFormat="false" ht="15" hidden="false" customHeight="false" outlineLevel="0" collapsed="false">
      <c r="A25" s="2"/>
      <c r="B25" s="3"/>
      <c r="C25" s="3"/>
      <c r="D25" s="2"/>
      <c r="E25" s="2"/>
      <c r="F25" s="3"/>
      <c r="G25" s="3"/>
      <c r="H25" s="2"/>
      <c r="I25" s="2"/>
      <c r="J25" s="2"/>
      <c r="K25" s="2"/>
      <c r="L25" s="2"/>
      <c r="M25" s="3"/>
      <c r="N25" s="2"/>
      <c r="O25" s="2"/>
      <c r="P25" s="3"/>
      <c r="Q25" s="3"/>
      <c r="R25" s="3"/>
      <c r="S25" s="3"/>
      <c r="T25" s="3"/>
      <c r="U25" s="2"/>
    </row>
    <row r="26" customFormat="false" ht="15" hidden="false" customHeight="false" outlineLevel="0" collapsed="false">
      <c r="A26" s="2"/>
      <c r="B26" s="3"/>
      <c r="C26" s="3"/>
      <c r="D26" s="2"/>
      <c r="E26" s="2"/>
      <c r="F26" s="3"/>
      <c r="G26" s="3"/>
      <c r="H26" s="2"/>
      <c r="I26" s="2"/>
      <c r="J26" s="2"/>
      <c r="K26" s="2"/>
      <c r="L26" s="2"/>
      <c r="M26" s="3"/>
      <c r="N26" s="2"/>
      <c r="O26" s="2"/>
      <c r="P26" s="3"/>
      <c r="Q26" s="3"/>
      <c r="R26" s="3"/>
      <c r="S26" s="3"/>
      <c r="T26" s="3"/>
      <c r="U26" s="2"/>
    </row>
    <row r="27" customFormat="false" ht="15" hidden="false" customHeight="false" outlineLevel="0" collapsed="false">
      <c r="A27" s="2"/>
      <c r="B27" s="3"/>
      <c r="C27" s="3"/>
      <c r="D27" s="2"/>
      <c r="E27" s="2"/>
      <c r="F27" s="3"/>
      <c r="G27" s="3"/>
      <c r="H27" s="2"/>
      <c r="I27" s="2"/>
      <c r="J27" s="2"/>
      <c r="K27" s="2"/>
      <c r="L27" s="2"/>
      <c r="M27" s="3"/>
      <c r="N27" s="2"/>
      <c r="O27" s="2"/>
      <c r="P27" s="3"/>
      <c r="Q27" s="3"/>
      <c r="R27" s="3"/>
      <c r="S27" s="3"/>
      <c r="T27" s="3"/>
      <c r="U27" s="2"/>
    </row>
    <row r="28" customFormat="false" ht="15" hidden="false" customHeight="false" outlineLevel="0" collapsed="false">
      <c r="A28" s="2"/>
      <c r="B28" s="3"/>
      <c r="C28" s="3"/>
      <c r="D28" s="2"/>
      <c r="E28" s="2"/>
      <c r="F28" s="3"/>
      <c r="G28" s="3"/>
      <c r="H28" s="2"/>
      <c r="I28" s="2"/>
      <c r="J28" s="2"/>
      <c r="K28" s="2"/>
      <c r="L28" s="2"/>
      <c r="M28" s="3"/>
      <c r="N28" s="2"/>
      <c r="O28" s="2"/>
      <c r="P28" s="3"/>
      <c r="Q28" s="3"/>
      <c r="R28" s="3"/>
      <c r="S28" s="3"/>
      <c r="T28" s="3"/>
      <c r="U28" s="2"/>
    </row>
    <row r="29" customFormat="false" ht="15" hidden="false" customHeight="false" outlineLevel="0" collapsed="false">
      <c r="A29" s="2"/>
      <c r="B29" s="3"/>
      <c r="C29" s="3"/>
      <c r="D29" s="2"/>
      <c r="E29" s="2"/>
      <c r="F29" s="3"/>
      <c r="G29" s="3"/>
      <c r="H29" s="2"/>
      <c r="I29" s="2"/>
      <c r="J29" s="2"/>
      <c r="K29" s="2"/>
      <c r="L29" s="2"/>
      <c r="M29" s="3"/>
      <c r="N29" s="2"/>
      <c r="O29" s="2"/>
      <c r="P29" s="3"/>
      <c r="Q29" s="3"/>
      <c r="R29" s="3"/>
      <c r="S29" s="3"/>
      <c r="T29" s="3"/>
      <c r="U29" s="2"/>
    </row>
  </sheetData>
  <dataValidations count="7">
    <dataValidation allowBlank="true" errorStyle="stop" operator="between" showDropDown="false" showErrorMessage="false" showInputMessage="false" sqref="U2:U200" type="list">
      <formula1>"Pending,Reached,Confirmed,Demo,Done,Dropped"</formula1>
      <formula2>0</formula2>
    </dataValidation>
    <dataValidation allowBlank="true" errorStyle="stop" operator="between" showDropDown="false" showErrorMessage="false" showInputMessage="false" sqref="J2:J200 L2:L200 N2:N200" type="list">
      <formula1>"Yes,No"</formula1>
      <formula2>0</formula2>
    </dataValidation>
    <dataValidation allowBlank="true" errorStyle="stop" operator="between" showDropDown="false" showErrorMessage="false" showInputMessage="false" sqref="E2:E200" type="list">
      <formula1>"EN,BM,ZH"</formula1>
      <formula2>0</formula2>
    </dataValidation>
    <dataValidation allowBlank="true" errorStyle="stop" operator="between" showDropDown="false" showErrorMessage="false" showInputMessage="false" sqref="F2:F200" type="list">
      <formula1>"Warm,FB,Telegram,LinkedIn,MIEA,Email,Other"</formula1>
      <formula2>0</formula2>
    </dataValidation>
    <dataValidation allowBlank="true" errorStyle="stop" operator="between" showDropDown="false" showErrorMessage="false" showInputMessage="false" sqref="P2:P200" type="list">
      <formula1>"Yes,Probably yes,Maybe,Probably not,No"</formula1>
      <formula2>0</formula2>
    </dataValidation>
    <dataValidation allowBlank="true" errorStyle="stop" operator="between" showDropDown="false" showErrorMessage="false" showInputMessage="false" sqref="M2:M200" type="list">
      <formula1>"Self-serve,Guided call"</formula1>
      <formula2>0</formula2>
    </dataValidation>
    <dataValidation allowBlank="true" errorStyle="stop" operator="between" showDropDown="false" showErrorMessage="false" showInputMessage="false" sqref="O2:O200" type="whole">
      <formula1>0</formula1>
      <formula2>10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7" t="s">
        <v>64</v>
      </c>
    </row>
    <row r="3" customFormat="false" ht="15" hidden="false" customHeight="false" outlineLevel="0" collapsed="false">
      <c r="A3" s="8" t="s">
        <v>20</v>
      </c>
      <c r="B3" s="8" t="s">
        <v>65</v>
      </c>
    </row>
    <row r="4" customFormat="false" ht="15" hidden="false" customHeight="false" outlineLevel="0" collapsed="false">
      <c r="A4" s="9" t="s">
        <v>66</v>
      </c>
      <c r="B4" s="2" t="n">
        <f aca="false">COUNTIF('Pilot Tracking'!U:U,"Pending")</f>
        <v>0</v>
      </c>
    </row>
    <row r="5" customFormat="false" ht="15" hidden="false" customHeight="false" outlineLevel="0" collapsed="false">
      <c r="A5" s="10" t="s">
        <v>51</v>
      </c>
      <c r="B5" s="2" t="n">
        <f aca="false">COUNTIF('Pilot Tracking'!U:U,"Reached")</f>
        <v>2</v>
      </c>
    </row>
    <row r="6" customFormat="false" ht="15" hidden="false" customHeight="false" outlineLevel="0" collapsed="false">
      <c r="A6" s="11" t="s">
        <v>9</v>
      </c>
      <c r="B6" s="2" t="n">
        <f aca="false">COUNTIF('Pilot Tracking'!U:U,"Confirmed")</f>
        <v>1</v>
      </c>
    </row>
    <row r="7" customFormat="false" ht="15" hidden="false" customHeight="false" outlineLevel="0" collapsed="false">
      <c r="A7" s="12" t="s">
        <v>67</v>
      </c>
      <c r="B7" s="2" t="n">
        <f aca="false">COUNTIF('Pilot Tracking'!U:U,"Demo")</f>
        <v>0</v>
      </c>
    </row>
    <row r="8" customFormat="false" ht="15" hidden="false" customHeight="false" outlineLevel="0" collapsed="false">
      <c r="A8" s="13" t="s">
        <v>34</v>
      </c>
      <c r="B8" s="2" t="n">
        <f aca="false">COUNTIF('Pilot Tracking'!U:U,"Done")</f>
        <v>2</v>
      </c>
    </row>
    <row r="9" customFormat="false" ht="15" hidden="false" customHeight="false" outlineLevel="0" collapsed="false">
      <c r="A9" s="14" t="s">
        <v>68</v>
      </c>
      <c r="B9" s="2" t="n">
        <f aca="false">COUNTIF('Pilot Tracking'!U:U,"Dropped")</f>
        <v>0</v>
      </c>
    </row>
    <row r="11" customFormat="false" ht="15" hidden="false" customHeight="false" outlineLevel="0" collapsed="false">
      <c r="A11" s="15" t="s">
        <v>69</v>
      </c>
      <c r="B11" s="16" t="n">
        <f aca="false">SUM(B4:B9)</f>
        <v>5</v>
      </c>
    </row>
    <row r="14" customFormat="false" ht="16.15" hidden="false" customHeight="false" outlineLevel="0" collapsed="false">
      <c r="A14" s="17" t="s">
        <v>70</v>
      </c>
    </row>
    <row r="15" customFormat="false" ht="15" hidden="false" customHeight="false" outlineLevel="0" collapsed="false">
      <c r="A15" s="18" t="s">
        <v>71</v>
      </c>
      <c r="B15" s="2" t="n">
        <f aca="false">COUNTIFS('Pilot Tracking'!O:O,"&gt;=9")</f>
        <v>1</v>
      </c>
    </row>
    <row r="16" customFormat="false" ht="15" hidden="false" customHeight="false" outlineLevel="0" collapsed="false">
      <c r="A16" s="18" t="s">
        <v>72</v>
      </c>
      <c r="B16" s="2" t="n">
        <f aca="false">COUNTIFS('Pilot Tracking'!O:O,"&gt;=7",'Pilot Tracking'!O:O,"&lt;=8")</f>
        <v>1</v>
      </c>
    </row>
    <row r="17" customFormat="false" ht="15" hidden="false" customHeight="false" outlineLevel="0" collapsed="false">
      <c r="A17" s="18" t="s">
        <v>73</v>
      </c>
      <c r="B17" s="2" t="n">
        <f aca="false">COUNTIFS('Pilot Tracking'!O:O,"&gt;=0",'Pilot Tracking'!O:O,"&lt;=6")</f>
        <v>0</v>
      </c>
    </row>
    <row r="18" customFormat="false" ht="15" hidden="false" customHeight="false" outlineLevel="0" collapsed="false">
      <c r="A18" s="18" t="s">
        <v>74</v>
      </c>
      <c r="B18" s="2" t="n">
        <f aca="false">COUNT('Pilot Tracking'!O:O)</f>
        <v>2</v>
      </c>
    </row>
    <row r="19" customFormat="false" ht="15" hidden="false" customHeight="false" outlineLevel="0" collapsed="false">
      <c r="A19" s="19"/>
      <c r="B19" s="19"/>
    </row>
    <row r="20" customFormat="false" ht="15" hidden="false" customHeight="false" outlineLevel="0" collapsed="false">
      <c r="A20" s="20" t="s">
        <v>75</v>
      </c>
      <c r="B20" s="21" t="n">
        <f aca="false">IFERROR((B15-B17)/B18*100,0)</f>
        <v>50</v>
      </c>
    </row>
    <row r="23" customFormat="false" ht="15" hidden="false" customHeight="false" outlineLevel="0" collapsed="false">
      <c r="A23" s="22" t="s">
        <v>76</v>
      </c>
    </row>
    <row r="24" customFormat="false" ht="15" hidden="false" customHeight="false" outlineLevel="0" collapsed="false">
      <c r="A24" s="18" t="s">
        <v>77</v>
      </c>
      <c r="B24" s="23" t="n">
        <f aca="false">IFERROR((COUNTIF('Pilot Tracking'!P:P,"Yes")+COUNTIF('Pilot Tracking'!P:P,"Probably yes"))/COUNTA('Pilot Tracking'!P2:P200),0)</f>
        <v>1</v>
      </c>
    </row>
    <row r="25" customFormat="false" ht="15" hidden="false" customHeight="false" outlineLevel="0" collapsed="false">
      <c r="A25" s="18" t="s">
        <v>78</v>
      </c>
      <c r="B25" s="24" t="n">
        <f aca="false">B20</f>
        <v>50</v>
      </c>
    </row>
    <row r="26" customFormat="false" ht="15" hidden="false" customHeight="false" outlineLevel="0" collapsed="false">
      <c r="A26" s="18" t="s">
        <v>79</v>
      </c>
      <c r="B26" s="2" t="n">
        <f aca="false">COUNTIF('Pilot Tracking'!L:L,"Yes")</f>
        <v>2</v>
      </c>
    </row>
    <row r="27" customFormat="false" ht="15" hidden="false" customHeight="false" outlineLevel="0" collapsed="false">
      <c r="A27" s="18" t="s">
        <v>13</v>
      </c>
      <c r="B27" s="2" t="n">
        <f aca="false">COUNTIF('Pilot Tracking'!N:N,"Yes")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25" t="s">
        <v>80</v>
      </c>
    </row>
    <row r="2" customFormat="false" ht="15" hidden="false" customHeight="false" outlineLevel="0" collapsed="false">
      <c r="A2" s="26"/>
    </row>
    <row r="3" customFormat="false" ht="15" hidden="false" customHeight="false" outlineLevel="0" collapsed="false">
      <c r="A3" s="22" t="s">
        <v>81</v>
      </c>
    </row>
    <row r="4" customFormat="false" ht="15" hidden="false" customHeight="false" outlineLevel="0" collapsed="false">
      <c r="A4" s="26" t="s">
        <v>82</v>
      </c>
    </row>
    <row r="5" customFormat="false" ht="15" hidden="false" customHeight="false" outlineLevel="0" collapsed="false">
      <c r="A5" s="26" t="s">
        <v>83</v>
      </c>
    </row>
    <row r="6" customFormat="false" ht="15" hidden="false" customHeight="false" outlineLevel="0" collapsed="false">
      <c r="A6" s="26" t="s">
        <v>84</v>
      </c>
    </row>
    <row r="7" customFormat="false" ht="15" hidden="false" customHeight="false" outlineLevel="0" collapsed="false">
      <c r="A7" s="26" t="s">
        <v>85</v>
      </c>
    </row>
    <row r="8" customFormat="false" ht="15" hidden="false" customHeight="false" outlineLevel="0" collapsed="false">
      <c r="A8" s="26" t="s">
        <v>86</v>
      </c>
    </row>
    <row r="9" customFormat="false" ht="15" hidden="false" customHeight="false" outlineLevel="0" collapsed="false">
      <c r="A9" s="26"/>
    </row>
    <row r="10" customFormat="false" ht="15" hidden="false" customHeight="false" outlineLevel="0" collapsed="false">
      <c r="A10" s="22" t="s">
        <v>87</v>
      </c>
    </row>
    <row r="11" customFormat="false" ht="15" hidden="false" customHeight="false" outlineLevel="0" collapsed="false">
      <c r="A11" s="26" t="s">
        <v>88</v>
      </c>
    </row>
    <row r="12" customFormat="false" ht="15" hidden="false" customHeight="false" outlineLevel="0" collapsed="false">
      <c r="A12" s="26" t="s">
        <v>89</v>
      </c>
    </row>
    <row r="13" customFormat="false" ht="15" hidden="false" customHeight="false" outlineLevel="0" collapsed="false">
      <c r="A13" s="26" t="s">
        <v>90</v>
      </c>
    </row>
    <row r="14" customFormat="false" ht="15" hidden="false" customHeight="false" outlineLevel="0" collapsed="false">
      <c r="A14" s="26" t="s">
        <v>91</v>
      </c>
    </row>
    <row r="15" customFormat="false" ht="15" hidden="false" customHeight="false" outlineLevel="0" collapsed="false">
      <c r="A15" s="26" t="s">
        <v>92</v>
      </c>
    </row>
    <row r="16" customFormat="false" ht="15" hidden="false" customHeight="false" outlineLevel="0" collapsed="false">
      <c r="A16" s="26" t="s">
        <v>93</v>
      </c>
    </row>
    <row r="17" customFormat="false" ht="15" hidden="false" customHeight="false" outlineLevel="0" collapsed="false">
      <c r="A17" s="26"/>
    </row>
    <row r="18" customFormat="false" ht="15" hidden="false" customHeight="false" outlineLevel="0" collapsed="false">
      <c r="A18" s="22" t="s">
        <v>94</v>
      </c>
    </row>
    <row r="19" customFormat="false" ht="15" hidden="false" customHeight="false" outlineLevel="0" collapsed="false">
      <c r="A19" s="26" t="s">
        <v>95</v>
      </c>
    </row>
    <row r="20" customFormat="false" ht="15" hidden="false" customHeight="false" outlineLevel="0" collapsed="false">
      <c r="A20" s="26" t="s">
        <v>96</v>
      </c>
    </row>
    <row r="21" customFormat="false" ht="15" hidden="false" customHeight="false" outlineLevel="0" collapsed="false">
      <c r="A21" s="26" t="s">
        <v>97</v>
      </c>
    </row>
    <row r="22" customFormat="false" ht="15" hidden="false" customHeight="false" outlineLevel="0" collapsed="false">
      <c r="A22" s="26"/>
    </row>
    <row r="23" customFormat="false" ht="15" hidden="false" customHeight="false" outlineLevel="0" collapsed="false">
      <c r="A23" s="27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2026-04-25T13:57:55Z</dcterms:created>
  <dc:creator>openpyxl</dc:creator>
  <dc:description/>
  <dc:language>en-US</dc:language>
  <cp:lastModifiedBy/>
  <dcterms:modified xsi:type="dcterms:W3CDTF">2026-04-25T13:57:55Z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